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D:\Proyectos\Medicamentos\Web\"/>
    </mc:Choice>
  </mc:AlternateContent>
  <xr:revisionPtr revIDLastSave="0" documentId="13_ncr:1_{18B60196-2C68-4EA4-A336-83EF054D4F9E}" xr6:coauthVersionLast="47" xr6:coauthVersionMax="47" xr10:uidLastSave="{00000000-0000-0000-0000-000000000000}"/>
  <bookViews>
    <workbookView xWindow="-120" yWindow="-120" windowWidth="20730" windowHeight="11760" xr2:uid="{267C771D-5993-4D1A-B83B-E4383CD514A6}"/>
  </bookViews>
  <sheets>
    <sheet name="MEDICAMENTOS" sheetId="1" r:id="rId1"/>
    <sheet name="GUIA DE USO " sheetId="4" state="hidden" r:id="rId2"/>
    <sheet name="CONTROL DE CAMBIOS" sheetId="5"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<sst xmlns="http://schemas.openxmlformats.org/spreadsheetml/2006/main" count="293" uniqueCount="152">
  <si>
    <t xml:space="preserve">PORCENTAJE DE INTERMEDIACIÓN PARA PRODUCTOS NO PACTADOS </t>
  </si>
  <si>
    <t>DESCRIPCIÓN DE LA TECNOLOGÍA</t>
  </si>
  <si>
    <t>MARCA</t>
  </si>
  <si>
    <t>PRINCIPIO ACTIVO</t>
  </si>
  <si>
    <t>CONCENTRACIÓN</t>
  </si>
  <si>
    <t xml:space="preserve">FORMA FARMACEUTICA SEGÚN INVIMA </t>
  </si>
  <si>
    <t>PRESENTACIÓN </t>
  </si>
  <si>
    <t>REGISTRO SANITARIO - INVIMA</t>
  </si>
  <si>
    <t>ESTADO REGISTRO INVIMA</t>
  </si>
  <si>
    <t>ATC</t>
  </si>
  <si>
    <t>CUM</t>
  </si>
  <si>
    <t>EXPEDIENTE</t>
  </si>
  <si>
    <t>CONSECUTIVO</t>
  </si>
  <si>
    <t>CÓDIGO CUM HOMOLOGADO</t>
  </si>
  <si>
    <t>LABORATORIO ALIANZA
SI / NO</t>
  </si>
  <si>
    <t>LABORATORIO PACTADO EN ALIANZA</t>
  </si>
  <si>
    <t>CANAL (Institucional / Comercial)</t>
  </si>
  <si>
    <t xml:space="preserve">CANTIDAD MÍNIMA DE DISPENSACIÓN </t>
  </si>
  <si>
    <t>VARIABLE CANTIDAD UNIDAD MINIMA NEGOCIADA</t>
  </si>
  <si>
    <t>VALOR MEDICAMENTO REGULADO</t>
  </si>
  <si>
    <t>TARIFA PACTADA POR UNIDAD MINIMA NEGOCIADA SIN IVA</t>
  </si>
  <si>
    <t xml:space="preserve">MEDICAMENTOS DE CONTROL ESPECIAL </t>
  </si>
  <si>
    <t>MEDICAMENTOS MONOPOLIO DEL ESTADO</t>
  </si>
  <si>
    <t>PORCENTAJE ECONOMICO ALIANZAS(Porcentaje ya incluído en la columna final)</t>
  </si>
  <si>
    <t>PESTAÑA 1 : MEDICAMENTOS</t>
  </si>
  <si>
    <t>Ingresar la descripción de la  codificación de la tecnología del INVIMA.</t>
  </si>
  <si>
    <t>Si corresponde a un producto comercial o generico describir el nombre del producto</t>
  </si>
  <si>
    <t>Ingrese los principios activos del medicamento en caso de que apliquen.</t>
  </si>
  <si>
    <t xml:space="preserve">Ingrese la concentración de los principios activos y su respectiva unidad de medida en caso de que aplique. </t>
  </si>
  <si>
    <t>Ingrese la FORMA FARMACÉUTICA del expediente como registra en el INVIMA</t>
  </si>
  <si>
    <t>Ingrese la descripción de la PRESENTACIÓN COMERCIAL del consecutivo que corresponda; teniendo en cuenta medidas o cantidades como registra en INVIMA.</t>
  </si>
  <si>
    <t>Ingrese el REGISTRO SANITARIO del expediente como registra en INVIMA</t>
  </si>
  <si>
    <t>Ingrese el estado del registro según el Invima (vigente, en trámite de renovación, etc.)</t>
  </si>
  <si>
    <t>Ingrese el Código de Clasificación Anatómica - Terapéutica - Química (ATC) del expediente como registra en INVIMA.</t>
  </si>
  <si>
    <t>Ingrese el CUM como corresponda en caso de que aplique.
 (EXPEDIENTE-CONSECUTIVO</t>
  </si>
  <si>
    <t>Ingrese el número del EXPEDIENTE como registra en INVIMA.</t>
  </si>
  <si>
    <t>Ingrese el CONSECUTIVO de la presentación comercial como registra en INVIMA en caso de que aplique</t>
  </si>
  <si>
    <t xml:space="preserve">Ingrese el EXPEDIENTE más el CONSECUTIVO según corresponda la presentación comercial, como registra en INVIMA </t>
  </si>
  <si>
    <t>Registrar Si o No si hace parte de las alianzas con los laboratorios farmaceuticos de convenio con la compañía</t>
  </si>
  <si>
    <t>Laboratorio con el cual se tiene pactado la tecnología si aplica alianzas.</t>
  </si>
  <si>
    <t>Registrar el canal Institucional o Comercial acorde a la negociación.</t>
  </si>
  <si>
    <t>Hace referencia al nivel de presentación no fraccionable en el que se puede expresar la cantidad dispensada del CUM, esta unidad varía según el tipo de tecnología y la forma en que se administra</t>
  </si>
  <si>
    <t>Cantidad mínima a negociar en unidosis de acuerdo a la presentación farmacéutica de la tecnología. Por ejemplo: 1 tableta, 1 capsula, 1 vial, 1 ampolla, 1 frasco (ml), etc.</t>
  </si>
  <si>
    <t>Si la referencia es un medicamento regulado incluya su valor de acuerdo con la circular vigente.</t>
  </si>
  <si>
    <t xml:space="preserve">Valor pactado dada la unidad mínima negociada sin IVA. </t>
  </si>
  <si>
    <t>Marcar SI o NO respecto a la validación de la circular de medicamentos de control especial vigente</t>
  </si>
  <si>
    <t>Marcar SI o NO respecto a la validación de la circular de medicamentos de monopolio del estado vigente</t>
  </si>
  <si>
    <t>PESTAÑA 2 : OTROS</t>
  </si>
  <si>
    <t xml:space="preserve">Ingrese el EXPEDIENTE más el CONSECUTIVO asigando por Positiva según corresponda la presentación comercial definida por el INVIMA </t>
  </si>
  <si>
    <t>PESTAÑA 3 : ALIANZAS</t>
  </si>
  <si>
    <t xml:space="preserve">Ingrese el EXPEDIENTE más el CONSECUTIVO asigando por Positiva según corresponda </t>
  </si>
  <si>
    <t xml:space="preserve"> TARIFAS DE MEDICAMENTOS E INSUMOS PROVEEDORES MEDICAMENTOS</t>
  </si>
  <si>
    <t>CONTROL DE CAMBIOS</t>
  </si>
  <si>
    <t xml:space="preserve">N° </t>
  </si>
  <si>
    <t>Descripción del Cambio</t>
  </si>
  <si>
    <t>Fecha del Cambio</t>
  </si>
  <si>
    <t>Quien Aprueba el Cambio (Cargo)</t>
  </si>
  <si>
    <t>Versión Anterior</t>
  </si>
  <si>
    <t xml:space="preserve">Se crea el documento </t>
  </si>
  <si>
    <t>Gerente de Abastecimiento Estrategico</t>
  </si>
  <si>
    <t>NA</t>
  </si>
  <si>
    <t>Se ajustan los campos a la necesidad del area, adicional se cambia la ubicación y código del documento</t>
  </si>
  <si>
    <t>Gerente Médico</t>
  </si>
  <si>
    <t xml:space="preserve">se realiza cambio de codigo de APO_10_1_4_FR06 aMIS_5_4_1_FR22 y se cambia de proceso  </t>
  </si>
  <si>
    <t>Se actualiza el formato con los nuevos parametros establecidos para el proyecto de actualización documental, se estable guía de uso, se adiciona la columna "Código paquete", se unifica las celdas de la columna "Tarifa" en la plantilla de "Paquetes", se organiza la forma del documento.</t>
  </si>
  <si>
    <t xml:space="preserve">Se actualiza el formato con los nuevos parametros establecidos de acuerdo a lo establecido en el Decreto 441 del 2022 </t>
  </si>
  <si>
    <t xml:space="preserve">Se actualiza el formato incluyendo las pestañas para portafolio de sistemas y unidades de material de osteosintesis, se incluyen los paquetes de rehabilitación. </t>
  </si>
  <si>
    <t xml:space="preserve">Se actualiza el formato en la pestaña de tarifas de proveedores de medicamentos, se actualizan las tarifas para la vigencia 2024 de los paquetes de rehabilitación, se incluye la pestaña de tarifas de RHB de territorios nacionales. </t>
  </si>
  <si>
    <t xml:space="preserve"> </t>
  </si>
  <si>
    <t>43001-1</t>
  </si>
  <si>
    <t>19912602-1</t>
  </si>
  <si>
    <t>207541-2</t>
  </si>
  <si>
    <t>20224891-1</t>
  </si>
  <si>
    <t>20087613-16</t>
  </si>
  <si>
    <t>43001</t>
  </si>
  <si>
    <t>19912602</t>
  </si>
  <si>
    <t>207541</t>
  </si>
  <si>
    <t>20224891</t>
  </si>
  <si>
    <t>20087613</t>
  </si>
  <si>
    <t>NO APLICA</t>
  </si>
  <si>
    <t>REPARIL ® GEL N.-5 g+1 g-TUBO 30GR-GEL TOPICO</t>
  </si>
  <si>
    <t>REPARIL</t>
  </si>
  <si>
    <t>DIETILAMINA SALICILATO + ESCINA</t>
  </si>
  <si>
    <t>5 g+1 g</t>
  </si>
  <si>
    <t>GEL</t>
  </si>
  <si>
    <t>INVIMA2021M-0005533-R2</t>
  </si>
  <si>
    <t>VIGENTE</t>
  </si>
  <si>
    <t>C05BA51</t>
  </si>
  <si>
    <t>NOAPLICA</t>
  </si>
  <si>
    <t>NO</t>
  </si>
  <si>
    <t>COMERCIAL</t>
  </si>
  <si>
    <t>TUBO 30 G</t>
  </si>
  <si>
    <t>1 TUBO</t>
  </si>
  <si>
    <t>PREDNEFRIN® 0.12% SUSPENSION OFTALMICA-1.2 mg-FRASCO 5  ml-SUSPENSION</t>
  </si>
  <si>
    <t>PREDNEFRIN®</t>
  </si>
  <si>
    <t>PREDNISOLONA</t>
  </si>
  <si>
    <t>1.2 mg</t>
  </si>
  <si>
    <t>SUSPENSION</t>
  </si>
  <si>
    <t>FRASCO 5  ml</t>
  </si>
  <si>
    <t>INVIMA2023MBT-0009704-R1</t>
  </si>
  <si>
    <t>S01BA04</t>
  </si>
  <si>
    <t>FRASCO 5 ML</t>
  </si>
  <si>
    <t>1 FRASCO</t>
  </si>
  <si>
    <t>CITIVITAE® 1000 MG SOLUCIÓN ORAL-1 g-SACHET 10 unds-SOLUCION</t>
  </si>
  <si>
    <t>CITIVITAE</t>
  </si>
  <si>
    <t>CITICOLINA SAL SODICA QUIVALENTE A CITICOLINA</t>
  </si>
  <si>
    <t>1 g</t>
  </si>
  <si>
    <t>SOLUCION</t>
  </si>
  <si>
    <t>SACHET 10 unds</t>
  </si>
  <si>
    <t>INVIMA2022M-0017541-R1</t>
  </si>
  <si>
    <t>N06BX06</t>
  </si>
  <si>
    <t>CAJA 10 UNDS</t>
  </si>
  <si>
    <t>1 SACHET</t>
  </si>
  <si>
    <t>RILATEN® GRAGEAS-10 mg-BLISTER 15 UNDS-TABLETA</t>
  </si>
  <si>
    <t>RILATEN</t>
  </si>
  <si>
    <t>ROCIVERINA</t>
  </si>
  <si>
    <t>10 mg</t>
  </si>
  <si>
    <t>TABLETA</t>
  </si>
  <si>
    <t xml:space="preserve">CAJA X 1 BLISTER PVC/ALUMINIO X 15 GRAGEAS	</t>
  </si>
  <si>
    <t xml:space="preserve">VIGENTE </t>
  </si>
  <si>
    <t>A03AA06</t>
  </si>
  <si>
    <t xml:space="preserve">NO </t>
  </si>
  <si>
    <t>BLISTER 15 UNS</t>
  </si>
  <si>
    <t>1 TABLETA</t>
  </si>
  <si>
    <t>DOMPERIDONA10MG-10 mg-BLISTER 10 unds-TABLETA</t>
  </si>
  <si>
    <t>DOMPERIDONA</t>
  </si>
  <si>
    <t>Caja plegadiza con blíster PVC/PVDC aluminio X 10 tabletas</t>
  </si>
  <si>
    <t>A03FA03</t>
  </si>
  <si>
    <t>descripcion_medicamento</t>
  </si>
  <si>
    <t>marca</t>
  </si>
  <si>
    <t>principio_activo</t>
  </si>
  <si>
    <t>concentracion</t>
  </si>
  <si>
    <t>forma_farmaceutica</t>
  </si>
  <si>
    <t>presentacion</t>
  </si>
  <si>
    <t>registro_sanitario</t>
  </si>
  <si>
    <t>estado_registro</t>
  </si>
  <si>
    <t>atc</t>
  </si>
  <si>
    <t>cum</t>
  </si>
  <si>
    <t>expediente</t>
  </si>
  <si>
    <t>consecutivo</t>
  </si>
  <si>
    <t>codigo_cum_homologo</t>
  </si>
  <si>
    <t>alianza</t>
  </si>
  <si>
    <t>laboratorio_alianza</t>
  </si>
  <si>
    <t>canal</t>
  </si>
  <si>
    <t>cantidad_minima_de_dispensacion</t>
  </si>
  <si>
    <t>variable_cantidad_unidad_minima_negociada</t>
  </si>
  <si>
    <t>valor_medicamento_regulado</t>
  </si>
  <si>
    <t>tarifa_pactada_por_unidad_sin_iva</t>
  </si>
  <si>
    <t>medicamentos_de_control_especial</t>
  </si>
  <si>
    <t>medicamentos_monopolio_del_estado</t>
  </si>
  <si>
    <t xml:space="preserve">INVIMA2023M-012241-R2	</t>
  </si>
  <si>
    <t xml:space="preserve">INVIMA2023M-0020867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</si>
</sst>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quot;$&quot;\ * #,##0_-;\-&quot;$&quot;\ * #,##0_-;_-&quot;$&quot;\ * &quot;-&quot;_-;_-@_-"/>
    <numFmt numFmtId="165" formatCode="_-&quot;$&quot;\ * #,##0.00_-;\-&quot;$&quot;\ * #,##0.00_-;_-&quot;$&quot;\ * &quot;-&quot;??_-;_-@_-"/>
    <numFmt numFmtId="166" formatCode="yyyy\-mm\-dd"/>
  </numFmts>
  <fonts count="13" x14ac:knownFonts="1">
    <font>
      <sz val="11"/>
      <color theme="1"/>
      <name val="Aptos Narrow"/>
      <family val="2"/>
      <scheme val="minor"/>
    </font>
    <font>
      <sz val="11"/>
      <color theme="1"/>
      <name val="Aptos Narrow"/>
      <family val="2"/>
      <scheme val="minor"/>
    </font>
    <font>
      <sz val="11"/>
      <color indexed="8"/>
      <name val="Arial"/>
      <family val="2"/>
    </font>
    <font>
      <b/>
      <sz val="11"/>
      <color theme="1"/>
      <name val="Arial Narrow"/>
      <family val="2"/>
    </font>
    <font>
      <b/>
      <sz val="11"/>
      <color theme="1"/>
      <name val="Aptos"/>
      <family val="2"/>
    </font>
    <font>
      <b/>
      <sz val="9"/>
      <color theme="1"/>
      <name val="Aptos"/>
      <family val="2"/>
    </font>
    <font>
      <b/>
      <sz val="11"/>
      <color theme="0"/>
      <name val="Aptos"/>
      <family val="2"/>
    </font>
    <font>
      <sz val="11"/>
      <color theme="1"/>
      <name val="Arial Narrow"/>
      <family val="2"/>
    </font>
    <font>
      <b/>
      <sz val="11"/>
      <name val="Arial Narrow"/>
      <family val="2"/>
    </font>
    <font>
      <b/>
      <i/>
      <u/>
      <sz val="11"/>
      <color theme="1"/>
      <name val="Arial Narrow"/>
      <family val="2"/>
    </font>
    <font>
      <sz val="11"/>
      <color rgb="FFFF0000"/>
      <name val="Arial Narrow"/>
      <family val="2"/>
    </font>
    <font>
      <b/>
      <sz val="11"/>
      <color theme="1"/>
      <name val="Arial"/>
      <family val="2"/>
    </font>
    <font>
      <sz val="11"/>
      <color theme="1"/>
      <name val="Arial"/>
      <family val="2"/>
    </font>
  </fonts>
  <fills count="7">
    <fill>
      <patternFill patternType="none"/>
    </fill>
    <fill>
      <patternFill patternType="gray125"/>
    </fill>
    <fill>
      <patternFill patternType="solid">
        <fgColor theme="2"/>
        <bgColor indexed="64"/>
      </patternFill>
    </fill>
    <fill>
      <patternFill patternType="solid">
        <fgColor theme="5" tint="0.39997558519241921"/>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s>
  <cellStyleXfs count="5">
    <xf numFmtId="0" fontId="0" fillId="0" borderId="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36">
    <xf numFmtId="0" fontId="0" fillId="0" borderId="0" xfId="0"/>
    <xf numFmtId="166" fontId="2" fillId="0" borderId="1" xfId="0" applyNumberFormat="1" applyFont="1" applyBorder="1" applyAlignment="1">
      <alignment horizontal="center" vertical="center"/>
    </xf>
    <xf numFmtId="0" fontId="3" fillId="2" borderId="1" xfId="0" applyFont="1" applyFill="1" applyBorder="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0" fontId="9" fillId="0" borderId="2" xfId="0" applyFont="1" applyBorder="1"/>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164" fontId="3" fillId="2" borderId="1" xfId="2" applyFont="1" applyFill="1" applyBorder="1" applyAlignment="1">
      <alignment horizontal="center" vertical="center" wrapText="1"/>
    </xf>
    <xf numFmtId="164" fontId="10" fillId="0" borderId="1" xfId="2" applyFont="1" applyBorder="1" applyAlignment="1">
      <alignment horizontal="center" vertical="center" wrapText="1"/>
    </xf>
    <xf numFmtId="0" fontId="10" fillId="0" borderId="0" xfId="0" applyFont="1" applyAlignment="1">
      <alignment horizontal="center" vertical="center"/>
    </xf>
    <xf numFmtId="164" fontId="10" fillId="0" borderId="0" xfId="2" applyFont="1" applyBorder="1" applyAlignment="1">
      <alignment horizontal="center" vertical="center" wrapText="1"/>
    </xf>
    <xf numFmtId="0" fontId="9" fillId="0" borderId="1" xfId="0" applyFont="1" applyBorder="1"/>
    <xf numFmtId="0" fontId="11" fillId="6" borderId="6"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12" fillId="0" borderId="9" xfId="0" applyFont="1" applyBorder="1" applyAlignment="1">
      <alignment horizontal="center" vertical="center" wrapText="1"/>
    </xf>
    <xf numFmtId="0" fontId="12" fillId="0" borderId="9" xfId="0" applyFont="1" applyBorder="1" applyAlignment="1">
      <alignment horizontal="left" vertical="center" wrapText="1"/>
    </xf>
    <xf numFmtId="166" fontId="2" fillId="0" borderId="9" xfId="0" applyNumberFormat="1"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166" fontId="2" fillId="0" borderId="1" xfId="0" applyNumberFormat="1" applyFont="1" applyBorder="1" applyAlignment="1">
      <alignment horizontal="center" vertical="center" wrapText="1"/>
    </xf>
    <xf numFmtId="0" fontId="0" fillId="0" borderId="0" xfId="0" applyAlignment="1">
      <alignment wrapText="1"/>
    </xf>
    <xf numFmtId="0" fontId="6" fillId="4" borderId="1" xfId="1"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4" applyNumberFormat="1" applyFont="1" applyFill="1" applyBorder="1" applyAlignment="1">
      <alignment horizontal="center" vertical="center" wrapText="1"/>
    </xf>
    <xf numFmtId="0" fontId="0" fillId="0" borderId="0" xfId="4" applyNumberFormat="1" applyFont="1"/>
    <xf numFmtId="0" fontId="5"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4" fillId="2" borderId="1" xfId="1" applyNumberFormat="1" applyFont="1" applyFill="1" applyBorder="1" applyAlignment="1">
      <alignment horizontal="center" vertical="center" wrapText="1"/>
    </xf>
    <xf numFmtId="0" fontId="0" fillId="0" borderId="0" xfId="1" applyNumberFormat="1" applyFont="1"/>
    <xf numFmtId="0" fontId="8" fillId="5" borderId="1"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1" fillId="6" borderId="5" xfId="0" applyFont="1" applyFill="1" applyBorder="1" applyAlignment="1">
      <alignment horizontal="center" vertical="center" wrapText="1"/>
    </xf>
  </cellXfs>
  <cellStyles count="5">
    <cellStyle name="Millares" xfId="4" builtinId="3"/>
    <cellStyle name="Moneda" xfId="1" builtinId="4"/>
    <cellStyle name="Moneda [0]" xfId="2" builtinId="7"/>
    <cellStyle name="Moneda [0] 2" xfId="3" xr:uid="{D3D7614C-25F0-4E0E-966A-5998191B7D7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64912-775A-4FEB-AE8D-19C118E187D3}">
  <dimension ref="A1:V7"/>
  <sheetViews>
    <sheetView tabSelected="1" zoomScale="85" zoomScaleNormal="85" workbookViewId="0">
      <pane ySplit="1" topLeftCell="A2" activePane="bottomLeft" state="frozen"/>
      <selection pane="bottomLeft"/>
    </sheetView>
  </sheetViews>
  <sheetFormatPr baseColWidth="10" defaultRowHeight="15" x14ac:dyDescent="0.25"/>
  <cols>
    <col min="1" max="1" width="12.5703125" customWidth="1"/>
    <col min="3" max="3" width="20.140625" customWidth="1"/>
    <col min="4" max="4" width="19.85546875" customWidth="1"/>
    <col min="5" max="5" width="22.42578125" customWidth="1"/>
    <col min="6" max="6" width="16" customWidth="1"/>
    <col min="7" max="7" width="15.140625" customWidth="1"/>
    <col min="8" max="8" width="13.140625" customWidth="1"/>
    <col min="9" max="9" width="17.140625" customWidth="1"/>
    <col min="10" max="10" width="17.42578125" customWidth="1"/>
    <col min="11" max="11" width="21.85546875" style="26" customWidth="1"/>
    <col min="12" max="12" width="16" style="26" customWidth="1"/>
    <col min="13" max="13" width="16.85546875" customWidth="1"/>
    <col min="14" max="14" width="18.85546875" customWidth="1"/>
    <col min="15" max="15" width="14.140625" customWidth="1"/>
    <col min="16" max="16" width="15.140625" customWidth="1"/>
    <col min="17" max="17" width="17.5703125" customWidth="1"/>
    <col min="18" max="18" width="15.42578125" customWidth="1"/>
    <col min="19" max="20" width="18.42578125" style="31" customWidth="1"/>
    <col min="21" max="21" width="15" customWidth="1"/>
    <col min="22" max="22" width="22.140625" customWidth="1"/>
  </cols>
  <sheetData>
    <row r="1" spans="1:22" s="22" customFormat="1" ht="60" x14ac:dyDescent="0.25">
      <c r="A1" s="27" t="s">
        <v>128</v>
      </c>
      <c r="B1" s="24" t="s">
        <v>129</v>
      </c>
      <c r="C1" s="28" t="s">
        <v>130</v>
      </c>
      <c r="D1" s="28" t="s">
        <v>131</v>
      </c>
      <c r="E1" s="28" t="s">
        <v>132</v>
      </c>
      <c r="F1" s="24" t="s">
        <v>133</v>
      </c>
      <c r="G1" s="24" t="s">
        <v>134</v>
      </c>
      <c r="H1" s="24" t="s">
        <v>135</v>
      </c>
      <c r="I1" s="24" t="s">
        <v>136</v>
      </c>
      <c r="J1" s="24" t="s">
        <v>137</v>
      </c>
      <c r="K1" s="25" t="s">
        <v>138</v>
      </c>
      <c r="L1" s="25" t="s">
        <v>139</v>
      </c>
      <c r="M1" s="24" t="s">
        <v>140</v>
      </c>
      <c r="N1" s="24" t="s">
        <v>141</v>
      </c>
      <c r="O1" s="24" t="s">
        <v>142</v>
      </c>
      <c r="P1" s="24" t="s">
        <v>143</v>
      </c>
      <c r="Q1" s="24" t="s">
        <v>144</v>
      </c>
      <c r="R1" s="29" t="s">
        <v>145</v>
      </c>
      <c r="S1" s="30" t="s">
        <v>146</v>
      </c>
      <c r="T1" s="23" t="s">
        <v>147</v>
      </c>
      <c r="U1" s="23" t="s">
        <v>148</v>
      </c>
      <c r="V1" s="23" t="s">
        <v>149</v>
      </c>
    </row>
    <row r="2" spans="1:22" x14ac:dyDescent="0.25">
      <c r="A2" t="s">
        <v>80</v>
      </c>
      <c r="B2" t="s">
        <v>81</v>
      </c>
      <c r="C2" t="s">
        <v>82</v>
      </c>
      <c r="D2" t="s">
        <v>83</v>
      </c>
      <c r="E2" t="s">
        <v>84</v>
      </c>
      <c r="F2" t="s">
        <v>91</v>
      </c>
      <c r="G2" t="s">
        <v>85</v>
      </c>
      <c r="H2" t="s">
        <v>86</v>
      </c>
      <c r="I2" t="s">
        <v>87</v>
      </c>
      <c r="J2" t="s">
        <v>69</v>
      </c>
      <c r="K2" s="26" t="s">
        <v>74</v>
      </c>
      <c r="L2" s="26">
        <v>1</v>
      </c>
      <c r="M2" t="s">
        <v>88</v>
      </c>
      <c r="N2" t="s">
        <v>89</v>
      </c>
      <c r="O2" t="s">
        <v>79</v>
      </c>
      <c r="P2" t="s">
        <v>90</v>
      </c>
      <c r="Q2" t="s">
        <v>91</v>
      </c>
      <c r="R2" t="s">
        <v>92</v>
      </c>
      <c r="S2" s="31">
        <v>0</v>
      </c>
      <c r="T2" s="31">
        <v>63709.333333333343</v>
      </c>
      <c r="U2" t="s">
        <v>89</v>
      </c>
      <c r="V2" t="s">
        <v>89</v>
      </c>
    </row>
    <row r="3" spans="1:22" x14ac:dyDescent="0.25">
      <c r="A3" t="s">
        <v>93</v>
      </c>
      <c r="B3" t="s">
        <v>94</v>
      </c>
      <c r="C3" t="s">
        <v>95</v>
      </c>
      <c r="D3" t="s">
        <v>96</v>
      </c>
      <c r="E3" t="s">
        <v>97</v>
      </c>
      <c r="F3" t="s">
        <v>98</v>
      </c>
      <c r="G3" t="s">
        <v>99</v>
      </c>
      <c r="H3" t="s">
        <v>86</v>
      </c>
      <c r="I3" t="s">
        <v>100</v>
      </c>
      <c r="J3" t="s">
        <v>70</v>
      </c>
      <c r="K3" s="26" t="s">
        <v>75</v>
      </c>
      <c r="L3" s="26">
        <v>1</v>
      </c>
      <c r="M3" t="s">
        <v>88</v>
      </c>
      <c r="N3" t="s">
        <v>89</v>
      </c>
      <c r="O3" t="s">
        <v>79</v>
      </c>
      <c r="P3" t="s">
        <v>90</v>
      </c>
      <c r="Q3" t="s">
        <v>101</v>
      </c>
      <c r="R3" t="s">
        <v>102</v>
      </c>
      <c r="S3" s="31">
        <v>0</v>
      </c>
      <c r="T3" s="31">
        <v>44975.466666666667</v>
      </c>
      <c r="U3" t="s">
        <v>89</v>
      </c>
      <c r="V3" t="s">
        <v>89</v>
      </c>
    </row>
    <row r="4" spans="1:22" x14ac:dyDescent="0.25">
      <c r="A4" t="s">
        <v>103</v>
      </c>
      <c r="B4" t="s">
        <v>104</v>
      </c>
      <c r="C4" t="s">
        <v>105</v>
      </c>
      <c r="D4" t="s">
        <v>106</v>
      </c>
      <c r="E4" t="s">
        <v>107</v>
      </c>
      <c r="F4" t="s">
        <v>108</v>
      </c>
      <c r="G4" t="s">
        <v>109</v>
      </c>
      <c r="H4" t="s">
        <v>86</v>
      </c>
      <c r="I4" t="s">
        <v>110</v>
      </c>
      <c r="J4" t="s">
        <v>73</v>
      </c>
      <c r="K4" s="26" t="s">
        <v>78</v>
      </c>
      <c r="L4" s="26">
        <v>16</v>
      </c>
      <c r="M4" t="s">
        <v>88</v>
      </c>
      <c r="N4" t="s">
        <v>89</v>
      </c>
      <c r="O4" t="s">
        <v>79</v>
      </c>
      <c r="P4" t="s">
        <v>90</v>
      </c>
      <c r="Q4" t="s">
        <v>111</v>
      </c>
      <c r="R4" t="s">
        <v>112</v>
      </c>
      <c r="S4" s="31">
        <v>0</v>
      </c>
      <c r="T4" s="31">
        <v>10990.933333333334</v>
      </c>
      <c r="U4" t="s">
        <v>89</v>
      </c>
      <c r="V4" t="s">
        <v>89</v>
      </c>
    </row>
    <row r="5" spans="1:22" x14ac:dyDescent="0.25">
      <c r="A5" t="s">
        <v>113</v>
      </c>
      <c r="B5" t="s">
        <v>114</v>
      </c>
      <c r="C5" t="s">
        <v>115</v>
      </c>
      <c r="D5" t="s">
        <v>116</v>
      </c>
      <c r="E5" t="s">
        <v>117</v>
      </c>
      <c r="F5" t="s">
        <v>118</v>
      </c>
      <c r="G5" t="s">
        <v>150</v>
      </c>
      <c r="H5" t="s">
        <v>119</v>
      </c>
      <c r="I5" t="s">
        <v>120</v>
      </c>
      <c r="J5" t="s">
        <v>71</v>
      </c>
      <c r="K5" s="26" t="s">
        <v>76</v>
      </c>
      <c r="L5" s="26">
        <v>2</v>
      </c>
      <c r="M5" t="s">
        <v>88</v>
      </c>
      <c r="N5" t="s">
        <v>121</v>
      </c>
      <c r="O5" t="s">
        <v>79</v>
      </c>
      <c r="P5" t="s">
        <v>90</v>
      </c>
      <c r="Q5" t="s">
        <v>122</v>
      </c>
      <c r="R5" t="s">
        <v>123</v>
      </c>
      <c r="S5" s="31">
        <v>0</v>
      </c>
      <c r="T5" s="31">
        <v>4102.1866666666665</v>
      </c>
      <c r="U5" t="s">
        <v>89</v>
      </c>
      <c r="V5" t="s">
        <v>89</v>
      </c>
    </row>
    <row r="6" spans="1:22" x14ac:dyDescent="0.25">
      <c r="A6" t="s">
        <v>124</v>
      </c>
      <c r="B6" t="s">
        <v>125</v>
      </c>
      <c r="C6" t="s">
        <v>125</v>
      </c>
      <c r="D6" t="s">
        <v>116</v>
      </c>
      <c r="E6" t="s">
        <v>117</v>
      </c>
      <c r="F6" t="s">
        <v>126</v>
      </c>
      <c r="G6" t="s">
        <v>151</v>
      </c>
      <c r="H6" t="s">
        <v>119</v>
      </c>
      <c r="I6" t="s">
        <v>127</v>
      </c>
      <c r="J6" t="s">
        <v>72</v>
      </c>
      <c r="K6" s="26" t="s">
        <v>77</v>
      </c>
      <c r="L6" s="26">
        <v>1</v>
      </c>
      <c r="M6" t="s">
        <v>88</v>
      </c>
      <c r="N6" t="s">
        <v>121</v>
      </c>
      <c r="O6" t="s">
        <v>79</v>
      </c>
      <c r="P6" t="s">
        <v>90</v>
      </c>
      <c r="Q6" t="s">
        <v>122</v>
      </c>
      <c r="R6" t="s">
        <v>123</v>
      </c>
      <c r="S6" s="31">
        <v>179.6</v>
      </c>
      <c r="T6" s="31">
        <v>179.6</v>
      </c>
      <c r="U6" t="s">
        <v>89</v>
      </c>
      <c r="V6" t="s">
        <v>89</v>
      </c>
    </row>
    <row r="7" spans="1:22" x14ac:dyDescent="0.25">
      <c r="A7" t="s">
        <v>80</v>
      </c>
      <c r="B7" t="s">
        <v>81</v>
      </c>
      <c r="C7" t="s">
        <v>82</v>
      </c>
      <c r="D7" t="s">
        <v>83</v>
      </c>
      <c r="E7" t="s">
        <v>84</v>
      </c>
      <c r="F7" t="s">
        <v>91</v>
      </c>
      <c r="G7" t="s">
        <v>85</v>
      </c>
      <c r="H7" t="s">
        <v>86</v>
      </c>
      <c r="I7" t="s">
        <v>87</v>
      </c>
      <c r="J7" t="s">
        <v>69</v>
      </c>
      <c r="K7" s="26" t="s">
        <v>74</v>
      </c>
      <c r="L7" s="26">
        <v>1</v>
      </c>
      <c r="M7" t="s">
        <v>88</v>
      </c>
      <c r="N7" t="s">
        <v>89</v>
      </c>
      <c r="O7" t="s">
        <v>79</v>
      </c>
      <c r="P7" t="s">
        <v>90</v>
      </c>
      <c r="Q7" t="s">
        <v>91</v>
      </c>
      <c r="R7" t="s">
        <v>92</v>
      </c>
      <c r="S7" s="31">
        <v>0</v>
      </c>
      <c r="T7" s="31">
        <v>63709.333333333343</v>
      </c>
      <c r="U7" t="s">
        <v>89</v>
      </c>
      <c r="V7" t="s">
        <v>89</v>
      </c>
    </row>
  </sheetData>
  <protectedRanges>
    <protectedRange algorithmName="SHA-512" hashValue="8LcOc1QZcMgVQMs6eKs3X9PYAMWeZ8MkNgU7VDfvGOkhwHG2i7p2xuvzJMkgbEpvwv0o3xjOFmvn6xBeHng3Tw==" saltValue="RX2IPr2Eb/HGLq6oFVLr8g==" spinCount="100000" sqref="T1" name="MEDICAM_1"/>
  </protectedRanges>
  <dataValidations count="2">
    <dataValidation type="whole" allowBlank="1" showInputMessage="1" showErrorMessage="1" sqref="K2:L1048576" xr:uid="{AF5AB8D3-6942-4059-9BB6-65EDEC49E56F}">
      <formula1>1</formula1>
      <formula2>9999999</formula2>
    </dataValidation>
    <dataValidation type="decimal" allowBlank="1" showInputMessage="1" showErrorMessage="1" sqref="S2:T1048576" xr:uid="{8A3A9651-F9BC-4A27-A940-114434025999}">
      <formula1>0</formula1>
      <formula2>9000000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C0C0-6915-4334-9EA2-376F9077DFE1}">
  <dimension ref="A2:V25"/>
  <sheetViews>
    <sheetView topLeftCell="H5" workbookViewId="0">
      <selection activeCell="R9" sqref="R9"/>
    </sheetView>
  </sheetViews>
  <sheetFormatPr baseColWidth="10" defaultRowHeight="15" x14ac:dyDescent="0.25"/>
  <cols>
    <col min="1" max="1" width="26.5703125" customWidth="1"/>
    <col min="2" max="2" width="12.5703125" customWidth="1"/>
    <col min="3" max="3" width="12.85546875" customWidth="1"/>
    <col min="4" max="4" width="19" customWidth="1"/>
    <col min="5" max="5" width="17.140625" customWidth="1"/>
    <col min="6" max="6" width="16.85546875" customWidth="1"/>
    <col min="7" max="7" width="18.42578125" customWidth="1"/>
    <col min="8" max="8" width="18.140625" customWidth="1"/>
    <col min="9" max="9" width="22.42578125" customWidth="1"/>
    <col min="10" max="10" width="20.140625" customWidth="1"/>
    <col min="11" max="11" width="23.140625" customWidth="1"/>
    <col min="12" max="12" width="17.140625" customWidth="1"/>
    <col min="13" max="13" width="19.42578125" customWidth="1"/>
    <col min="14" max="14" width="17.42578125" customWidth="1"/>
    <col min="15" max="15" width="16.42578125" customWidth="1"/>
    <col min="16" max="16" width="15.5703125" customWidth="1"/>
    <col min="17" max="17" width="15.85546875" customWidth="1"/>
    <col min="18" max="18" width="18.42578125" customWidth="1"/>
    <col min="19" max="19" width="18" customWidth="1"/>
    <col min="20" max="20" width="19.5703125" customWidth="1"/>
    <col min="21" max="21" width="14.140625" customWidth="1"/>
    <col min="22" max="22" width="13.5703125" customWidth="1"/>
  </cols>
  <sheetData>
    <row r="2" spans="1:22" s="3" customFormat="1" ht="48" customHeight="1" x14ac:dyDescent="0.25">
      <c r="A2" s="32" t="s">
        <v>51</v>
      </c>
      <c r="B2" s="32"/>
      <c r="C2" s="32"/>
      <c r="D2" s="32"/>
      <c r="E2" s="32"/>
      <c r="F2" s="32"/>
      <c r="G2" s="32"/>
      <c r="H2" s="32"/>
      <c r="I2" s="32"/>
      <c r="J2" s="32"/>
      <c r="K2" s="32"/>
    </row>
    <row r="3" spans="1:22" s="3" customFormat="1" ht="16.5" x14ac:dyDescent="0.25">
      <c r="A3" s="4"/>
      <c r="B3" s="4"/>
      <c r="C3" s="4"/>
      <c r="D3" s="4"/>
      <c r="E3" s="4"/>
    </row>
    <row r="4" spans="1:22" s="3" customFormat="1" ht="16.5" x14ac:dyDescent="0.3">
      <c r="A4" s="5" t="s">
        <v>24</v>
      </c>
      <c r="B4" s="4"/>
      <c r="C4" s="4"/>
      <c r="D4" s="4"/>
      <c r="E4" s="4"/>
    </row>
    <row r="5" spans="1:22" s="3" customFormat="1" ht="49.5" x14ac:dyDescent="0.25">
      <c r="A5" s="2" t="s">
        <v>0</v>
      </c>
      <c r="B5" s="4"/>
      <c r="C5" s="4"/>
      <c r="D5" s="4"/>
      <c r="E5" s="4"/>
      <c r="F5" s="4"/>
      <c r="G5" s="4"/>
      <c r="H5" s="4"/>
      <c r="I5" s="4"/>
      <c r="J5" s="4"/>
      <c r="K5" s="4"/>
      <c r="L5" s="4"/>
    </row>
    <row r="6" spans="1:22" s="3" customFormat="1" ht="27.95" customHeight="1" x14ac:dyDescent="0.25">
      <c r="A6" s="6"/>
      <c r="B6" s="4"/>
      <c r="C6" s="4"/>
      <c r="D6" s="4"/>
      <c r="E6" s="4"/>
      <c r="F6" s="4"/>
      <c r="G6" s="4"/>
      <c r="H6" s="4"/>
      <c r="I6" s="4"/>
      <c r="J6" s="4"/>
      <c r="K6" s="4"/>
      <c r="L6" s="4"/>
      <c r="Q6" s="3" t="s">
        <v>68</v>
      </c>
    </row>
    <row r="7" spans="1:22" s="3" customFormat="1" ht="16.5" x14ac:dyDescent="0.25">
      <c r="A7" s="7"/>
      <c r="B7" s="7"/>
      <c r="C7" s="7"/>
      <c r="D7" s="7"/>
      <c r="E7" s="7"/>
      <c r="F7" s="7"/>
      <c r="G7" s="7"/>
      <c r="H7" s="7"/>
      <c r="I7" s="7"/>
    </row>
    <row r="8" spans="1:22" s="4" customFormat="1" ht="82.5" x14ac:dyDescent="0.25">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8" t="s">
        <v>18</v>
      </c>
      <c r="S8" s="8" t="s">
        <v>19</v>
      </c>
      <c r="T8" s="8" t="s">
        <v>20</v>
      </c>
      <c r="U8" s="8" t="s">
        <v>21</v>
      </c>
      <c r="V8" s="8" t="s">
        <v>22</v>
      </c>
    </row>
    <row r="9" spans="1:22" s="7" customFormat="1" ht="214.5" x14ac:dyDescent="0.25">
      <c r="A9" s="6" t="s">
        <v>25</v>
      </c>
      <c r="B9" s="6" t="s">
        <v>26</v>
      </c>
      <c r="C9" s="6" t="s">
        <v>27</v>
      </c>
      <c r="D9" s="6" t="s">
        <v>28</v>
      </c>
      <c r="E9" s="6" t="s">
        <v>29</v>
      </c>
      <c r="F9" s="6" t="s">
        <v>30</v>
      </c>
      <c r="G9" s="6" t="s">
        <v>31</v>
      </c>
      <c r="H9" s="6" t="s">
        <v>32</v>
      </c>
      <c r="I9" s="6" t="s">
        <v>33</v>
      </c>
      <c r="J9" s="6" t="s">
        <v>34</v>
      </c>
      <c r="K9" s="6" t="s">
        <v>35</v>
      </c>
      <c r="L9" s="6" t="s">
        <v>36</v>
      </c>
      <c r="M9" s="6" t="s">
        <v>37</v>
      </c>
      <c r="N9" s="6" t="s">
        <v>38</v>
      </c>
      <c r="O9" s="6" t="s">
        <v>39</v>
      </c>
      <c r="P9" s="6" t="s">
        <v>40</v>
      </c>
      <c r="Q9" s="6" t="s">
        <v>41</v>
      </c>
      <c r="R9" s="9" t="s">
        <v>42</v>
      </c>
      <c r="S9" s="6" t="s">
        <v>43</v>
      </c>
      <c r="T9" s="6" t="s">
        <v>44</v>
      </c>
      <c r="U9" s="6" t="s">
        <v>45</v>
      </c>
      <c r="V9" s="6" t="s">
        <v>46</v>
      </c>
    </row>
    <row r="12" spans="1:22" s="10" customFormat="1" ht="16.5" x14ac:dyDescent="0.3">
      <c r="A12" s="5" t="s">
        <v>47</v>
      </c>
      <c r="B12"/>
      <c r="C12"/>
      <c r="D12"/>
      <c r="E12"/>
      <c r="F12"/>
      <c r="G12"/>
      <c r="H12"/>
      <c r="I12"/>
      <c r="J12"/>
      <c r="K12"/>
      <c r="L12"/>
      <c r="M12"/>
      <c r="N12"/>
      <c r="O12"/>
      <c r="P12"/>
      <c r="Q12"/>
      <c r="R12"/>
      <c r="S12" s="7"/>
      <c r="T12" s="7"/>
    </row>
    <row r="13" spans="1:22" s="10" customFormat="1" ht="49.5" x14ac:dyDescent="0.25">
      <c r="A13" s="2" t="s">
        <v>0</v>
      </c>
      <c r="B13"/>
      <c r="C13"/>
      <c r="D13"/>
      <c r="E13"/>
      <c r="F13"/>
      <c r="G13"/>
      <c r="H13"/>
      <c r="I13"/>
      <c r="J13"/>
      <c r="K13"/>
      <c r="L13"/>
      <c r="M13"/>
      <c r="N13"/>
      <c r="O13"/>
      <c r="P13"/>
      <c r="Q13"/>
      <c r="R13"/>
      <c r="S13" s="3"/>
      <c r="T13" s="3"/>
    </row>
    <row r="14" spans="1:22" s="10" customFormat="1" ht="45.95" customHeight="1" x14ac:dyDescent="0.25">
      <c r="A14" s="6"/>
      <c r="B14" s="4"/>
      <c r="C14" s="4"/>
      <c r="D14" s="4"/>
      <c r="E14" s="4"/>
      <c r="F14" s="4"/>
      <c r="G14" s="4"/>
      <c r="H14" s="4"/>
      <c r="I14" s="4"/>
      <c r="J14" s="4"/>
      <c r="K14" s="4"/>
      <c r="L14" s="4"/>
      <c r="M14" s="3"/>
      <c r="N14" s="3"/>
      <c r="O14" s="3"/>
      <c r="P14" s="3"/>
      <c r="Q14" s="3"/>
      <c r="R14" s="3"/>
      <c r="S14" s="3"/>
      <c r="T14" s="3"/>
    </row>
    <row r="15" spans="1:22" s="10" customFormat="1" ht="16.5" x14ac:dyDescent="0.25">
      <c r="A15" s="7"/>
      <c r="B15" s="7"/>
      <c r="C15" s="7"/>
      <c r="D15" s="7"/>
      <c r="E15" s="7"/>
      <c r="F15" s="7"/>
      <c r="G15" s="7"/>
      <c r="H15" s="7"/>
      <c r="I15" s="7"/>
      <c r="J15" s="3"/>
      <c r="K15" s="3"/>
      <c r="L15" s="3"/>
      <c r="M15" s="3"/>
      <c r="N15" s="3"/>
      <c r="O15" s="3"/>
      <c r="P15" s="3"/>
      <c r="Q15" s="3"/>
      <c r="R15" s="3"/>
      <c r="S15" s="3"/>
      <c r="T15" s="3"/>
    </row>
    <row r="16" spans="1:22" s="10" customFormat="1" ht="82.5" x14ac:dyDescent="0.25">
      <c r="A16" s="2" t="s">
        <v>1</v>
      </c>
      <c r="B16" s="2" t="s">
        <v>2</v>
      </c>
      <c r="C16" s="2" t="s">
        <v>3</v>
      </c>
      <c r="D16" s="2" t="s">
        <v>4</v>
      </c>
      <c r="E16" s="2" t="s">
        <v>5</v>
      </c>
      <c r="F16" s="2" t="s">
        <v>6</v>
      </c>
      <c r="G16" s="2" t="s">
        <v>7</v>
      </c>
      <c r="H16" s="2" t="s">
        <v>8</v>
      </c>
      <c r="I16" s="2" t="s">
        <v>9</v>
      </c>
      <c r="J16" s="2" t="s">
        <v>10</v>
      </c>
      <c r="K16" s="2" t="s">
        <v>11</v>
      </c>
      <c r="L16" s="2" t="s">
        <v>12</v>
      </c>
      <c r="M16" s="2" t="s">
        <v>13</v>
      </c>
      <c r="N16" s="2" t="s">
        <v>14</v>
      </c>
      <c r="O16" s="2" t="s">
        <v>15</v>
      </c>
      <c r="P16" s="2" t="s">
        <v>16</v>
      </c>
      <c r="Q16" s="2" t="s">
        <v>17</v>
      </c>
      <c r="R16" s="8" t="s">
        <v>18</v>
      </c>
      <c r="S16" s="8" t="s">
        <v>19</v>
      </c>
      <c r="T16" s="8" t="s">
        <v>20</v>
      </c>
      <c r="U16" s="8" t="s">
        <v>21</v>
      </c>
      <c r="V16" s="8" t="s">
        <v>22</v>
      </c>
    </row>
    <row r="17" spans="1:22" s="7" customFormat="1" ht="214.5" x14ac:dyDescent="0.25">
      <c r="A17" s="6" t="s">
        <v>25</v>
      </c>
      <c r="B17" s="6" t="s">
        <v>26</v>
      </c>
      <c r="C17" s="6" t="s">
        <v>27</v>
      </c>
      <c r="D17" s="6" t="s">
        <v>28</v>
      </c>
      <c r="E17" s="6" t="s">
        <v>29</v>
      </c>
      <c r="F17" s="6" t="s">
        <v>30</v>
      </c>
      <c r="G17" s="6" t="s">
        <v>31</v>
      </c>
      <c r="H17" s="6" t="s">
        <v>32</v>
      </c>
      <c r="I17" s="6" t="s">
        <v>33</v>
      </c>
      <c r="J17" s="6" t="s">
        <v>34</v>
      </c>
      <c r="K17" s="6" t="s">
        <v>35</v>
      </c>
      <c r="L17" s="6" t="s">
        <v>36</v>
      </c>
      <c r="M17" s="6" t="s">
        <v>48</v>
      </c>
      <c r="N17" s="6" t="s">
        <v>38</v>
      </c>
      <c r="O17" s="6" t="s">
        <v>39</v>
      </c>
      <c r="P17" s="6" t="s">
        <v>40</v>
      </c>
      <c r="Q17" s="6" t="s">
        <v>41</v>
      </c>
      <c r="R17" s="9" t="s">
        <v>42</v>
      </c>
      <c r="S17" s="6" t="s">
        <v>43</v>
      </c>
      <c r="T17" s="6" t="s">
        <v>44</v>
      </c>
      <c r="U17" s="6" t="s">
        <v>45</v>
      </c>
      <c r="V17" s="6" t="s">
        <v>46</v>
      </c>
    </row>
    <row r="18" spans="1:22" s="10" customFormat="1" ht="16.5" x14ac:dyDescent="0.25">
      <c r="A18"/>
      <c r="B18"/>
      <c r="C18"/>
      <c r="D18"/>
      <c r="E18"/>
      <c r="F18"/>
      <c r="G18"/>
      <c r="H18"/>
      <c r="I18"/>
      <c r="J18"/>
      <c r="K18"/>
      <c r="L18"/>
      <c r="M18" s="7"/>
      <c r="N18" s="7"/>
      <c r="O18" s="7"/>
      <c r="P18" s="7"/>
      <c r="Q18" s="7"/>
      <c r="R18" s="11"/>
      <c r="S18" s="7"/>
      <c r="T18" s="7"/>
    </row>
    <row r="19" spans="1:22" s="10" customFormat="1" ht="16.5" x14ac:dyDescent="0.25">
      <c r="A19"/>
      <c r="B19"/>
      <c r="C19"/>
      <c r="D19"/>
      <c r="E19"/>
      <c r="F19"/>
      <c r="G19"/>
      <c r="H19"/>
      <c r="I19"/>
      <c r="J19"/>
      <c r="K19"/>
      <c r="L19"/>
      <c r="M19" s="7"/>
      <c r="N19" s="7"/>
      <c r="O19" s="7"/>
      <c r="P19" s="7"/>
      <c r="Q19" s="7"/>
      <c r="R19" s="11"/>
      <c r="S19" s="7"/>
      <c r="T19" s="7"/>
    </row>
    <row r="20" spans="1:22" s="10" customFormat="1" ht="16.5" x14ac:dyDescent="0.3">
      <c r="A20" s="12" t="s">
        <v>49</v>
      </c>
      <c r="B20"/>
      <c r="C20"/>
      <c r="D20"/>
      <c r="E20"/>
      <c r="F20"/>
      <c r="G20"/>
      <c r="H20"/>
      <c r="I20"/>
      <c r="J20"/>
      <c r="K20"/>
      <c r="L20"/>
      <c r="M20" s="7"/>
      <c r="N20" s="7"/>
      <c r="O20" s="7"/>
      <c r="P20" s="7"/>
      <c r="Q20" s="7"/>
      <c r="R20" s="11"/>
      <c r="S20" s="7"/>
      <c r="T20" s="7"/>
    </row>
    <row r="21" spans="1:22" s="10" customFormat="1" ht="49.5" x14ac:dyDescent="0.25">
      <c r="A21" s="2" t="s">
        <v>23</v>
      </c>
      <c r="B21" s="4"/>
      <c r="C21" s="4"/>
      <c r="D21" s="4"/>
      <c r="E21" s="4"/>
      <c r="F21" s="4"/>
      <c r="G21" s="4"/>
      <c r="H21" s="4"/>
      <c r="I21" s="4"/>
      <c r="J21" s="4"/>
      <c r="K21" s="4"/>
      <c r="L21" s="4"/>
      <c r="M21" s="3"/>
      <c r="N21" s="3"/>
      <c r="O21" s="3"/>
      <c r="P21" s="3"/>
      <c r="Q21" s="3"/>
      <c r="R21" s="3"/>
      <c r="S21" s="3"/>
      <c r="T21" s="3"/>
    </row>
    <row r="22" spans="1:22" s="10" customFormat="1" ht="30.95" customHeight="1" x14ac:dyDescent="0.25">
      <c r="A22" s="6"/>
      <c r="B22" s="4"/>
      <c r="C22" s="4"/>
      <c r="D22" s="4"/>
      <c r="E22" s="4"/>
      <c r="F22" s="4"/>
      <c r="G22" s="4"/>
      <c r="H22" s="4"/>
      <c r="I22" s="4"/>
      <c r="J22" s="4"/>
      <c r="K22" s="4"/>
      <c r="L22" s="4"/>
      <c r="M22" s="3"/>
      <c r="N22" s="3"/>
      <c r="O22" s="3"/>
      <c r="P22" s="3"/>
      <c r="Q22" s="3"/>
      <c r="R22" s="3"/>
      <c r="S22" s="3"/>
      <c r="T22" s="3"/>
    </row>
    <row r="23" spans="1:22" s="10" customFormat="1" ht="16.5" x14ac:dyDescent="0.25">
      <c r="A23" s="7"/>
      <c r="B23" s="7"/>
      <c r="C23" s="7"/>
      <c r="D23" s="7"/>
      <c r="E23" s="7"/>
      <c r="F23" s="7"/>
      <c r="G23" s="7"/>
      <c r="H23" s="7"/>
      <c r="I23" s="7"/>
      <c r="J23" s="3"/>
      <c r="K23" s="3"/>
      <c r="L23" s="3"/>
      <c r="M23" s="3"/>
      <c r="N23" s="3"/>
      <c r="O23" s="3"/>
      <c r="P23" s="3"/>
      <c r="Q23" s="3"/>
      <c r="R23" s="3"/>
      <c r="S23" s="3"/>
      <c r="T23" s="3"/>
    </row>
    <row r="24" spans="1:22" s="10" customFormat="1" ht="66" x14ac:dyDescent="0.25">
      <c r="A24" s="2" t="s">
        <v>1</v>
      </c>
      <c r="B24" s="2" t="s">
        <v>2</v>
      </c>
      <c r="C24" s="2" t="s">
        <v>3</v>
      </c>
      <c r="D24" s="2" t="s">
        <v>4</v>
      </c>
      <c r="E24" s="2" t="s">
        <v>5</v>
      </c>
      <c r="F24" s="2" t="s">
        <v>6</v>
      </c>
      <c r="G24" s="2" t="s">
        <v>7</v>
      </c>
      <c r="H24" s="2" t="s">
        <v>8</v>
      </c>
      <c r="I24" s="2" t="s">
        <v>9</v>
      </c>
      <c r="J24" s="2" t="s">
        <v>10</v>
      </c>
      <c r="K24" s="2" t="s">
        <v>11</v>
      </c>
      <c r="L24" s="2" t="s">
        <v>12</v>
      </c>
      <c r="M24" s="2" t="s">
        <v>13</v>
      </c>
      <c r="N24" s="2" t="s">
        <v>14</v>
      </c>
      <c r="O24" s="2" t="s">
        <v>15</v>
      </c>
      <c r="P24" s="2" t="s">
        <v>16</v>
      </c>
      <c r="Q24" s="2" t="s">
        <v>17</v>
      </c>
      <c r="R24" s="8" t="s">
        <v>18</v>
      </c>
      <c r="S24" s="8" t="s">
        <v>19</v>
      </c>
      <c r="T24" s="8" t="s">
        <v>20</v>
      </c>
    </row>
    <row r="25" spans="1:22" s="7" customFormat="1" ht="214.5" x14ac:dyDescent="0.25">
      <c r="A25" s="6" t="s">
        <v>25</v>
      </c>
      <c r="B25" s="6" t="s">
        <v>26</v>
      </c>
      <c r="C25" s="6" t="s">
        <v>27</v>
      </c>
      <c r="D25" s="6" t="s">
        <v>28</v>
      </c>
      <c r="E25" s="6" t="s">
        <v>29</v>
      </c>
      <c r="F25" s="6" t="s">
        <v>30</v>
      </c>
      <c r="G25" s="6" t="s">
        <v>31</v>
      </c>
      <c r="H25" s="6" t="s">
        <v>32</v>
      </c>
      <c r="I25" s="6" t="s">
        <v>33</v>
      </c>
      <c r="J25" s="6" t="s">
        <v>34</v>
      </c>
      <c r="K25" s="6" t="s">
        <v>35</v>
      </c>
      <c r="L25" s="6" t="s">
        <v>36</v>
      </c>
      <c r="M25" s="6" t="s">
        <v>50</v>
      </c>
      <c r="N25" s="6" t="s">
        <v>38</v>
      </c>
      <c r="O25" s="6" t="s">
        <v>39</v>
      </c>
      <c r="P25" s="6" t="s">
        <v>40</v>
      </c>
      <c r="Q25" s="6" t="s">
        <v>41</v>
      </c>
      <c r="R25" s="9" t="s">
        <v>42</v>
      </c>
      <c r="S25" s="6" t="s">
        <v>43</v>
      </c>
      <c r="T25" s="6" t="s">
        <v>44</v>
      </c>
    </row>
  </sheetData>
  <mergeCells count="1">
    <mergeCell ref="A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71433-4A7D-47C5-AB74-D08B55C5E37B}">
  <dimension ref="A1:E9"/>
  <sheetViews>
    <sheetView topLeftCell="A8" workbookViewId="0">
      <selection activeCell="A8" sqref="A1:XFD1048576"/>
    </sheetView>
  </sheetViews>
  <sheetFormatPr baseColWidth="10" defaultRowHeight="15" x14ac:dyDescent="0.25"/>
  <cols>
    <col min="2" max="2" width="38.140625" customWidth="1"/>
    <col min="3" max="3" width="21.140625" customWidth="1"/>
    <col min="4" max="4" width="15.85546875" customWidth="1"/>
    <col min="5" max="5" width="19.5703125" customWidth="1"/>
  </cols>
  <sheetData>
    <row r="1" spans="1:5" ht="15.75" thickBot="1" x14ac:dyDescent="0.3">
      <c r="A1" s="33" t="s">
        <v>52</v>
      </c>
      <c r="B1" s="34"/>
      <c r="C1" s="34"/>
      <c r="D1" s="34"/>
      <c r="E1" s="35"/>
    </row>
    <row r="2" spans="1:5" ht="60.75" thickBot="1" x14ac:dyDescent="0.3">
      <c r="A2" s="13" t="s">
        <v>53</v>
      </c>
      <c r="B2" s="14" t="s">
        <v>54</v>
      </c>
      <c r="C2" s="14" t="s">
        <v>55</v>
      </c>
      <c r="D2" s="14" t="s">
        <v>56</v>
      </c>
      <c r="E2" s="15" t="s">
        <v>57</v>
      </c>
    </row>
    <row r="3" spans="1:5" ht="42.75" x14ac:dyDescent="0.25">
      <c r="A3" s="16">
        <v>1</v>
      </c>
      <c r="B3" s="17" t="s">
        <v>58</v>
      </c>
      <c r="C3" s="18">
        <v>43410</v>
      </c>
      <c r="D3" s="16" t="s">
        <v>59</v>
      </c>
      <c r="E3" s="16" t="s">
        <v>60</v>
      </c>
    </row>
    <row r="4" spans="1:5" ht="42.75" x14ac:dyDescent="0.25">
      <c r="A4" s="19">
        <v>2</v>
      </c>
      <c r="B4" s="20" t="s">
        <v>61</v>
      </c>
      <c r="C4" s="1">
        <v>43886</v>
      </c>
      <c r="D4" s="19" t="s">
        <v>62</v>
      </c>
      <c r="E4" s="19">
        <v>1</v>
      </c>
    </row>
    <row r="5" spans="1:5" ht="57" x14ac:dyDescent="0.25">
      <c r="A5" s="19">
        <v>3</v>
      </c>
      <c r="B5" s="20" t="s">
        <v>63</v>
      </c>
      <c r="C5" s="1">
        <v>43938</v>
      </c>
      <c r="D5" s="19" t="s">
        <v>62</v>
      </c>
      <c r="E5" s="19">
        <v>2</v>
      </c>
    </row>
    <row r="6" spans="1:5" s="22" customFormat="1" ht="114" x14ac:dyDescent="0.25">
      <c r="A6" s="19">
        <v>4</v>
      </c>
      <c r="B6" s="20" t="s">
        <v>64</v>
      </c>
      <c r="C6" s="21">
        <v>44390</v>
      </c>
      <c r="D6" s="19" t="s">
        <v>62</v>
      </c>
      <c r="E6" s="19">
        <v>1</v>
      </c>
    </row>
    <row r="7" spans="1:5" ht="57" x14ac:dyDescent="0.25">
      <c r="A7" s="19">
        <v>5</v>
      </c>
      <c r="B7" s="20" t="s">
        <v>65</v>
      </c>
      <c r="C7" s="1">
        <v>44734</v>
      </c>
      <c r="D7" s="19" t="s">
        <v>62</v>
      </c>
      <c r="E7" s="19">
        <v>2</v>
      </c>
    </row>
    <row r="8" spans="1:5" s="22" customFormat="1" ht="71.25" x14ac:dyDescent="0.25">
      <c r="A8" s="19">
        <v>6</v>
      </c>
      <c r="B8" s="20" t="s">
        <v>66</v>
      </c>
      <c r="C8" s="21">
        <v>45103</v>
      </c>
      <c r="D8" s="19" t="s">
        <v>62</v>
      </c>
      <c r="E8" s="19">
        <v>3</v>
      </c>
    </row>
    <row r="9" spans="1:5" ht="99.75" x14ac:dyDescent="0.25">
      <c r="A9" s="19">
        <v>7</v>
      </c>
      <c r="B9" s="20" t="s">
        <v>67</v>
      </c>
      <c r="C9" s="1">
        <v>45436</v>
      </c>
      <c r="D9" s="19" t="s">
        <v>62</v>
      </c>
      <c r="E9" s="19">
        <v>4</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MEDICAMENTOS</vt:lpstr>
      <vt:lpstr>GUIA DE USO </vt:lpstr>
      <vt:lpstr>CONTROL DE CAMBIOS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positiva 5</dc:creator>
  <cp:lastModifiedBy>Analista Red 11</cp:lastModifiedBy>
  <dcterms:created xsi:type="dcterms:W3CDTF">2024-05-28T16:26:30Z</dcterms:created>
  <dcterms:modified xsi:type="dcterms:W3CDTF">2024-10-27T03:45:55Z</dcterms:modified>
</cp:coreProperties>
</file>